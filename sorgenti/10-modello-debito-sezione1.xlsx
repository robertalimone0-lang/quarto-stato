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Ipotesi" sheetId="2" state="visible" r:id="rId4"/>
    <sheet name="Scenari" sheetId="3" state="visible" r:id="rId5"/>
    <sheet name="Font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<sst xmlns="http://schemas.openxmlformats.org/spreadsheetml/2006/main" count="107" uniqueCount="78">
  <si>
    <t xml:space="preserve">Modello di sostenibilità del debito pubblico — Sezione 1, programma Quarto Stato</t>
  </si>
  <si>
    <t xml:space="preserve">Equazione: d(t) = d(t-1) × (1+i) / (1+g) − s + SF</t>
  </si>
  <si>
    <t xml:space="preserve">d = debito/PIL; i = tasso implicito (interessi / debito dell'anno precedente); g = crescita del PIL nominale; s = saldo primario; SF = aggiustamento stock-flussi.</t>
  </si>
  <si>
    <t xml:space="preserve">Avanzo di stabilizzazione: s* = d(t-1) × (i − g) / (1+g) + SF</t>
  </si>
  <si>
    <t xml:space="preserve">Come si usa</t>
  </si>
  <si>
    <t xml:space="preserve">1. I dati 2025-2029 del foglio Ipotesi riproducono il quadro tendenziale del DPFP 2026 (2 ottobre 2026). Il tasso implicito e lo stock-flussi sono ricavati dai dati ufficiali, non ipotizzati.</t>
  </si>
  <si>
    <t xml:space="preserve">2. Le leve di scenario sono le celle gialle del foglio Ipotesi (righe 13-20). Modificandole, il foglio Scenari si ricalcola.</t>
  </si>
  <si>
    <t xml:space="preserve">3. Dal 2030 il DPFP non fornisce previsioni: i valori 2030-2032 sono ipotesi dichiarate (cella per cella, colonna J).</t>
  </si>
  <si>
    <t xml:space="preserve">Codice colori</t>
  </si>
  <si>
    <t xml:space="preserve">Testo blu = dato immesso (fonte ufficiale o ipotesi). Testo nero = formula. Fondo giallo = leva di scenario modificabile.</t>
  </si>
  <si>
    <t xml:space="preserve">Limiti del modello</t>
  </si>
  <si>
    <t xml:space="preserve">Lo scenario crescita non ricalcola l'effetto della maggiore crescita sul saldo primario (entrate più alte): sottostima il beneficio.</t>
  </si>
  <si>
    <t xml:space="preserve">Lo scenario tassi applica lo shock al tasso marginale di emissione; il costo medio si adegua per la quota di debito rifinanziata ogni anno (1 / vita media residua).</t>
  </si>
  <si>
    <t xml:space="preserve">Gli scenari partono dal quadro tendenziale, che non include la clausola di salvaguardia nazionale per difesa ed energia (quadro programmatico: debito 136,6% nel 2029).</t>
  </si>
  <si>
    <t xml:space="preserve">Ipotesi e dati di base — quadro tendenziale DPFP 2026</t>
  </si>
  <si>
    <t xml:space="preserve">Variabile</t>
  </si>
  <si>
    <t xml:space="preserve">Fonte / nota</t>
  </si>
  <si>
    <t xml:space="preserve">Debito/PIL (DPFP, tendenziale)</t>
  </si>
  <si>
    <t xml:space="preserve">ISTAT (22/9/2026) per il 2025; DPFP 2026 tendenziale per 2026-2029 (138,1 / 138,4 / 137,7 / 136,3). Nessuna previsione ufficiale oltre il 2029.</t>
  </si>
  <si>
    <t xml:space="preserve">Crescita PIL nominale (g)</t>
  </si>
  <si>
    <t xml:space="preserve">DPFP 2026, quadro tendenziale. 2030-2032: ipotesi, crescita nominale invariata al livello 2029.</t>
  </si>
  <si>
    <t xml:space="preserve">Indebitamento netto (% PIL)</t>
  </si>
  <si>
    <t xml:space="preserve">DPFP 2026, quadro tendenziale (2,9 / 2,9 / 2,7 / 2,2).</t>
  </si>
  <si>
    <t xml:space="preserve">Saldo primario (s, % PIL)</t>
  </si>
  <si>
    <t xml:space="preserve">DPFP 2026: 1,2 (2026) e 2,5 (2029). 2027-2028 ricavati: indebitamento tendenziale + interessi del quadro programmatico (4,3 e 4,6). Da verificare sulle tavole del DPFP. 2030-2032: ipotesi, saldo costante.</t>
  </si>
  <si>
    <t xml:space="preserve">Spesa per interessi (% PIL)</t>
  </si>
  <si>
    <t xml:space="preserve">Ricavata: indebitamento netto + saldo primario. Banca d'Italia (audizione 12/10/2026) indica 4,2% nel 2026 e 4,6% nel 2028-29 nel quadro programmatico.</t>
  </si>
  <si>
    <t xml:space="preserve">Tasso implicito sul debito (i)</t>
  </si>
  <si>
    <t xml:space="preserve">Ricavato: interessi(t) × (1+g) / debito(t-1). 2030-2032: ipotesi, invariato al 2029 (vedi leva tassi per lo stress).</t>
  </si>
  <si>
    <t xml:space="preserve">Aggiustamento stock-flussi (SF, % PIL)</t>
  </si>
  <si>
    <t xml:space="preserve">Ricavato come residuo, così il modello riproduce esattamente il debito DPFP. 2030-2032: ipotesi, zero (effetti di cassa del Superbonus esauriti).</t>
  </si>
  <si>
    <t xml:space="preserve">Leve di scenario</t>
  </si>
  <si>
    <t xml:space="preserve">Avanzo primario aggiuntivo del programma (% PIL)</t>
  </si>
  <si>
    <t xml:space="preserve">Dato del programma Quarto Stato: margine di 3,9 mld (0,18% PIL) + 25% del gettito extra certificato (0,09% PIL). Da confermare sul business plan.</t>
  </si>
  <si>
    <t xml:space="preserve">Anno di avvio avanzo aggiuntivo</t>
  </si>
  <si>
    <t xml:space="preserve">Ipotesi: primo bilancio pienamente impostato dal nuovo governo.</t>
  </si>
  <si>
    <t xml:space="preserve">Crescita nominale aggiuntiva (p.p.)</t>
  </si>
  <si>
    <t xml:space="preserve">Ipotesi di scenario, da sostituire con stima basata su moltiplicatori pubblicati (Banca d'Italia, UPB, MEF).</t>
  </si>
  <si>
    <t xml:space="preserve">Anno di avvio crescita aggiuntiva</t>
  </si>
  <si>
    <t xml:space="preserve">Ipotesi.</t>
  </si>
  <si>
    <t xml:space="preserve">Shock sul tasso marginale di emissione (p.p.)</t>
  </si>
  <si>
    <t xml:space="preserve">Ipotesi di stress: +1 punto sui rendimenti di nuova emissione.</t>
  </si>
  <si>
    <t xml:space="preserve">Anno di avvio shock</t>
  </si>
  <si>
    <t xml:space="preserve">Vita media residua del debito (anni)</t>
  </si>
  <si>
    <t xml:space="preserve">Ordine di grandezza riportato per i titoli di Stato; da verificare sull'ultimo Supplemento Finanza pubblica della Banca d'Italia.</t>
  </si>
  <si>
    <t xml:space="preserve">Quota di debito rifinanziata ogni anno</t>
  </si>
  <si>
    <t xml:space="preserve">Formula: 1 / vita media residua. Approssimazione: ignora il debito nuovo da disavanzo.</t>
  </si>
  <si>
    <t xml:space="preserve">Scenari del rapporto debito/PIL, 2026-2032</t>
  </si>
  <si>
    <t xml:space="preserve">Anno</t>
  </si>
  <si>
    <t xml:space="preserve">1. Tendenziale (DPFP 2026 esteso al 2032)</t>
  </si>
  <si>
    <t xml:space="preserve">Debito/PIL inizio anno</t>
  </si>
  <si>
    <t xml:space="preserve">Crescita nominale (g)</t>
  </si>
  <si>
    <t xml:space="preserve">Tasso implicito (i)</t>
  </si>
  <si>
    <t xml:space="preserve">Saldo primario (s)</t>
  </si>
  <si>
    <t xml:space="preserve">Stock-flussi (SF)</t>
  </si>
  <si>
    <t xml:space="preserve">Debito/PIL fine anno</t>
  </si>
  <si>
    <t xml:space="preserve">Avanzo di stabilizzazione (s*)</t>
  </si>
  <si>
    <t xml:space="preserve">Scarto dal tendenziale (p.p.)</t>
  </si>
  <si>
    <t xml:space="preserve">2. Programma (avanzo primario aggiuntivo)</t>
  </si>
  <si>
    <t xml:space="preserve">3. Programma + crescita</t>
  </si>
  <si>
    <t xml:space="preserve">4. Stress tassi (su quadro tendenziale)</t>
  </si>
  <si>
    <t xml:space="preserve">Sintesi</t>
  </si>
  <si>
    <t xml:space="preserve">Debito/PIL 2029</t>
  </si>
  <si>
    <t xml:space="preserve">Debito/PIL 2032</t>
  </si>
  <si>
    <t xml:space="preserve">Scarto 2032 (p.p.)</t>
  </si>
  <si>
    <t xml:space="preserve">Fonti</t>
  </si>
  <si>
    <t xml:space="preserve">Documento</t>
  </si>
  <si>
    <t xml:space="preserve">Riferimento</t>
  </si>
  <si>
    <t xml:space="preserve">Documento programmatico di finanza pubblica 2026 (DPFP), trasmesso alle Camere il 2/10/2026 — quadro tendenziale e programmatico</t>
  </si>
  <si>
    <t xml:space="preserve">https://documenti.camera.it/leg19/dossier/pdf/gi0117.pdf (dossier Servizio Studi Camera, 7/10/2026)</t>
  </si>
  <si>
    <t xml:space="preserve">ISTAT, conti economici nazionali e notifica, 22/9/2026: debito/PIL 2025 rivisto al 136,7% (da 137,1%), 2024 al 134,2%</t>
  </si>
  <si>
    <t xml:space="preserve">Citato nel dossier Camera di cui sopra</t>
  </si>
  <si>
    <t xml:space="preserve">Banca d'Italia, audizione sul DPFP 2026 (12/10/2026): interessi 4,2% PIL nel 2026, 4,6% nel 2028-29; debito programmatico 136,6% nel 2029</t>
  </si>
  <si>
    <t xml:space="preserve">https://www.teleborsa.it/News/2026/10/12/dpfb-banca-d-italia-alze-le-stime-sul-pil-nel-2026-al-1percent-179.html (resoconto; verificare sul testo integrale Banca d'Italia)</t>
  </si>
  <si>
    <t xml:space="preserve">UPB, audizione sul DPFP 2026 (ottobre 2026): scenario UPB con debito al 137,7% nel 2029; con aspettative di mercato aggiornate 138,4%</t>
  </si>
  <si>
    <t xml:space="preserve">https://www.teleborsa.it/News/2026/10/12/dfpb-validazione-dell-upb-al-quadro-macro-ma-con-uso-clausola-poco-spazio-per-altre-misure-203.html (resoconto; verificare sul testo integrale UPB)</t>
  </si>
  <si>
    <t xml:space="preserve">UPB, audizione sul DFP 2026 (28/4/2026): proventi da privatizzazioni ipotizzati e rischi sulla traiettoria del debito</t>
  </si>
  <si>
    <t xml:space="preserve">https://www.upbilancio.it/wp-content/uploads/2026/04/CS_audizione-DFP-2026.pdf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</si>
</sst>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;\-0.0%;\-"/>
    <numFmt numFmtId="167" formatCode="0.00%;\-0.00%;\-"/>
    <numFmt numFmtId="168" formatCode="0.0"/>
    <numFmt numFmtId="169" formatCode="0.0;\-0.0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0"/>
    <col collapsed="false" customWidth="true" hidden="false" outlineLevel="0" max="10" min="10" style="0" width="110"/>
  </cols>
  <sheetData>
    <row r="1" customFormat="false" ht="16.15" hidden="false" customHeight="false" outlineLevel="0" collapsed="false">
      <c r="A1" s="1" t="s">
        <v>14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</row>
    <row r="3" customFormat="false" ht="15" hidden="false" customHeight="false" outlineLevel="0" collapsed="false">
      <c r="A3" s="5" t="s">
        <v>15</v>
      </c>
      <c r="B3" s="6" t="n">
        <v>2025</v>
      </c>
      <c r="C3" s="6" t="n">
        <v>2026</v>
      </c>
      <c r="D3" s="6" t="n">
        <v>2027</v>
      </c>
      <c r="E3" s="6" t="n">
        <v>2028</v>
      </c>
      <c r="F3" s="6" t="n">
        <v>2029</v>
      </c>
      <c r="G3" s="6" t="n">
        <v>2030</v>
      </c>
      <c r="H3" s="6" t="n">
        <v>2031</v>
      </c>
      <c r="I3" s="6" t="n">
        <v>2032</v>
      </c>
      <c r="J3" s="5" t="s">
        <v>16</v>
      </c>
    </row>
    <row r="4" customFormat="false" ht="15" hidden="false" customHeight="false" outlineLevel="0" collapsed="false">
      <c r="A4" s="2" t="s">
        <v>17</v>
      </c>
      <c r="B4" s="7" t="n">
        <v>1.367</v>
      </c>
      <c r="C4" s="7" t="n">
        <v>1.381</v>
      </c>
      <c r="D4" s="7" t="n">
        <v>1.384</v>
      </c>
      <c r="E4" s="7" t="n">
        <v>1.377</v>
      </c>
      <c r="F4" s="7" t="n">
        <v>1.363</v>
      </c>
      <c r="G4" s="8"/>
      <c r="H4" s="8"/>
      <c r="I4" s="8"/>
      <c r="J4" s="9" t="s">
        <v>18</v>
      </c>
    </row>
    <row r="5" customFormat="false" ht="15" hidden="false" customHeight="false" outlineLevel="0" collapsed="false">
      <c r="A5" s="2" t="s">
        <v>19</v>
      </c>
      <c r="B5" s="8"/>
      <c r="C5" s="7" t="n">
        <v>0.027</v>
      </c>
      <c r="D5" s="7" t="n">
        <v>0.029</v>
      </c>
      <c r="E5" s="7" t="n">
        <v>0.027</v>
      </c>
      <c r="F5" s="7" t="n">
        <v>0.026</v>
      </c>
      <c r="G5" s="7" t="n">
        <v>0.026</v>
      </c>
      <c r="H5" s="7" t="n">
        <v>0.026</v>
      </c>
      <c r="I5" s="7" t="n">
        <v>0.026</v>
      </c>
      <c r="J5" s="9" t="s">
        <v>20</v>
      </c>
    </row>
    <row r="6" customFormat="false" ht="15" hidden="false" customHeight="false" outlineLevel="0" collapsed="false">
      <c r="A6" s="2" t="s">
        <v>21</v>
      </c>
      <c r="B6" s="8"/>
      <c r="C6" s="7" t="n">
        <v>0.029</v>
      </c>
      <c r="D6" s="7" t="n">
        <v>0.029</v>
      </c>
      <c r="E6" s="7" t="n">
        <v>0.027</v>
      </c>
      <c r="F6" s="7" t="n">
        <v>0.022</v>
      </c>
      <c r="G6" s="8"/>
      <c r="H6" s="8"/>
      <c r="I6" s="8"/>
      <c r="J6" s="9" t="s">
        <v>22</v>
      </c>
    </row>
    <row r="7" customFormat="false" ht="15" hidden="false" customHeight="false" outlineLevel="0" collapsed="false">
      <c r="A7" s="2" t="s">
        <v>23</v>
      </c>
      <c r="B7" s="8"/>
      <c r="C7" s="7" t="n">
        <v>0.012</v>
      </c>
      <c r="D7" s="7" t="n">
        <v>0.014</v>
      </c>
      <c r="E7" s="7" t="n">
        <v>0.019</v>
      </c>
      <c r="F7" s="7" t="n">
        <v>0.025</v>
      </c>
      <c r="G7" s="7" t="n">
        <v>0.025</v>
      </c>
      <c r="H7" s="7" t="n">
        <v>0.025</v>
      </c>
      <c r="I7" s="7" t="n">
        <v>0.025</v>
      </c>
      <c r="J7" s="9" t="s">
        <v>24</v>
      </c>
    </row>
    <row r="8" customFormat="false" ht="15" hidden="false" customHeight="false" outlineLevel="0" collapsed="false">
      <c r="A8" s="2" t="s">
        <v>25</v>
      </c>
      <c r="B8" s="8"/>
      <c r="C8" s="8" t="n">
        <f aca="false">C6+C7</f>
        <v>0.041</v>
      </c>
      <c r="D8" s="8" t="n">
        <f aca="false">D6+D7</f>
        <v>0.043</v>
      </c>
      <c r="E8" s="8" t="n">
        <f aca="false">E6+E7</f>
        <v>0.046</v>
      </c>
      <c r="F8" s="8" t="n">
        <f aca="false">F6+F7</f>
        <v>0.047</v>
      </c>
      <c r="G8" s="8"/>
      <c r="H8" s="8"/>
      <c r="I8" s="8"/>
      <c r="J8" s="9" t="s">
        <v>26</v>
      </c>
    </row>
    <row r="9" customFormat="false" ht="15" hidden="false" customHeight="false" outlineLevel="0" collapsed="false">
      <c r="A9" s="2" t="s">
        <v>27</v>
      </c>
      <c r="B9" s="10"/>
      <c r="C9" s="10" t="n">
        <f aca="false">C8*(1+C5)/B4</f>
        <v>0.0308024871982443</v>
      </c>
      <c r="D9" s="10" t="n">
        <f aca="false">D8*(1+D5)/C4</f>
        <v>0.0320398262128892</v>
      </c>
      <c r="E9" s="10" t="n">
        <f aca="false">E8*(1+E5)/D4</f>
        <v>0.0341343930635838</v>
      </c>
      <c r="F9" s="10" t="n">
        <f aca="false">F8*(1+F5)/E4</f>
        <v>0.0350196078431373</v>
      </c>
      <c r="G9" s="10" t="n">
        <f aca="false">$F$9</f>
        <v>0.0350196078431373</v>
      </c>
      <c r="H9" s="10" t="n">
        <f aca="false">$F$9</f>
        <v>0.0350196078431373</v>
      </c>
      <c r="I9" s="10" t="n">
        <f aca="false">$F$9</f>
        <v>0.0350196078431373</v>
      </c>
      <c r="J9" s="9" t="s">
        <v>28</v>
      </c>
    </row>
    <row r="10" customFormat="false" ht="15" hidden="false" customHeight="false" outlineLevel="0" collapsed="false">
      <c r="A10" s="2" t="s">
        <v>29</v>
      </c>
      <c r="B10" s="8"/>
      <c r="C10" s="8" t="n">
        <f aca="false">C4-B4*(1+C9)/(1+C5)+C7</f>
        <v>0.0209386562804281</v>
      </c>
      <c r="D10" s="8" t="n">
        <f aca="false">D4-C4*(1+D9)/(1+D5)+D7</f>
        <v>0.0129203109815352</v>
      </c>
      <c r="E10" s="8" t="n">
        <f aca="false">E4-D4*(1+E9)/(1+E5)+E7</f>
        <v>0.00238558909444984</v>
      </c>
      <c r="F10" s="8" t="n">
        <f aca="false">F4-E4*(1+F9)/(1+F5)+F7</f>
        <v>-0.00110526315789463</v>
      </c>
      <c r="G10" s="7" t="n">
        <v>0</v>
      </c>
      <c r="H10" s="7" t="n">
        <v>0</v>
      </c>
      <c r="I10" s="7" t="n">
        <v>0</v>
      </c>
      <c r="J10" s="9" t="s">
        <v>30</v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customFormat="false" ht="15" hidden="false" customHeight="false" outlineLevel="0" collapsed="false">
      <c r="A12" s="5" t="s">
        <v>31</v>
      </c>
      <c r="B12" s="4"/>
      <c r="C12" s="4"/>
      <c r="D12" s="4"/>
      <c r="E12" s="4"/>
      <c r="F12" s="4"/>
      <c r="G12" s="4"/>
      <c r="H12" s="4"/>
      <c r="I12" s="4"/>
      <c r="J12" s="4"/>
    </row>
    <row r="13" customFormat="false" ht="15" hidden="false" customHeight="false" outlineLevel="0" collapsed="false">
      <c r="A13" s="4" t="s">
        <v>32</v>
      </c>
      <c r="B13" s="11" t="n">
        <v>0.0027</v>
      </c>
      <c r="C13" s="4"/>
      <c r="D13" s="4"/>
      <c r="E13" s="4"/>
      <c r="F13" s="4"/>
      <c r="G13" s="4"/>
      <c r="H13" s="4"/>
      <c r="I13" s="4"/>
      <c r="J13" s="9" t="s">
        <v>33</v>
      </c>
    </row>
    <row r="14" customFormat="false" ht="15" hidden="false" customHeight="false" outlineLevel="0" collapsed="false">
      <c r="A14" s="4" t="s">
        <v>34</v>
      </c>
      <c r="B14" s="12" t="n">
        <v>2028</v>
      </c>
      <c r="C14" s="4"/>
      <c r="D14" s="4"/>
      <c r="E14" s="4"/>
      <c r="F14" s="4"/>
      <c r="G14" s="4"/>
      <c r="H14" s="4"/>
      <c r="I14" s="4"/>
      <c r="J14" s="9" t="s">
        <v>35</v>
      </c>
    </row>
    <row r="15" customFormat="false" ht="15" hidden="false" customHeight="false" outlineLevel="0" collapsed="false">
      <c r="A15" s="4" t="s">
        <v>36</v>
      </c>
      <c r="B15" s="11" t="n">
        <v>0.003</v>
      </c>
      <c r="C15" s="4"/>
      <c r="D15" s="4"/>
      <c r="E15" s="4"/>
      <c r="F15" s="4"/>
      <c r="G15" s="4"/>
      <c r="H15" s="4"/>
      <c r="I15" s="4"/>
      <c r="J15" s="9" t="s">
        <v>37</v>
      </c>
    </row>
    <row r="16" customFormat="false" ht="15" hidden="false" customHeight="false" outlineLevel="0" collapsed="false">
      <c r="A16" s="4" t="s">
        <v>38</v>
      </c>
      <c r="B16" s="12" t="n">
        <v>2029</v>
      </c>
      <c r="C16" s="4"/>
      <c r="D16" s="4"/>
      <c r="E16" s="4"/>
      <c r="F16" s="4"/>
      <c r="G16" s="4"/>
      <c r="H16" s="4"/>
      <c r="I16" s="4"/>
      <c r="J16" s="9" t="s">
        <v>39</v>
      </c>
    </row>
    <row r="17" customFormat="false" ht="15" hidden="false" customHeight="false" outlineLevel="0" collapsed="false">
      <c r="A17" s="4" t="s">
        <v>40</v>
      </c>
      <c r="B17" s="11" t="n">
        <v>0.01</v>
      </c>
      <c r="C17" s="4"/>
      <c r="D17" s="4"/>
      <c r="E17" s="4"/>
      <c r="F17" s="4"/>
      <c r="G17" s="4"/>
      <c r="H17" s="4"/>
      <c r="I17" s="4"/>
      <c r="J17" s="9" t="s">
        <v>41</v>
      </c>
    </row>
    <row r="18" customFormat="false" ht="15" hidden="false" customHeight="false" outlineLevel="0" collapsed="false">
      <c r="A18" s="4" t="s">
        <v>42</v>
      </c>
      <c r="B18" s="12" t="n">
        <v>2028</v>
      </c>
      <c r="C18" s="4"/>
      <c r="D18" s="4"/>
      <c r="E18" s="4"/>
      <c r="F18" s="4"/>
      <c r="G18" s="4"/>
      <c r="H18" s="4"/>
      <c r="I18" s="4"/>
      <c r="J18" s="9" t="s">
        <v>39</v>
      </c>
    </row>
    <row r="19" customFormat="false" ht="15" hidden="false" customHeight="false" outlineLevel="0" collapsed="false">
      <c r="A19" s="4" t="s">
        <v>43</v>
      </c>
      <c r="B19" s="13" t="n">
        <v>7.9</v>
      </c>
      <c r="C19" s="4"/>
      <c r="D19" s="4"/>
      <c r="E19" s="4"/>
      <c r="F19" s="4"/>
      <c r="G19" s="4"/>
      <c r="H19" s="4"/>
      <c r="I19" s="4"/>
      <c r="J19" s="9" t="s">
        <v>44</v>
      </c>
    </row>
    <row r="20" customFormat="false" ht="15" hidden="false" customHeight="false" outlineLevel="0" collapsed="false">
      <c r="A20" s="4" t="s">
        <v>45</v>
      </c>
      <c r="B20" s="8" t="n">
        <f aca="false">1/B19</f>
        <v>0.126582278481013</v>
      </c>
      <c r="C20" s="4"/>
      <c r="D20" s="4"/>
      <c r="E20" s="4"/>
      <c r="F20" s="4"/>
      <c r="G20" s="4"/>
      <c r="H20" s="4"/>
      <c r="I20" s="4"/>
      <c r="J20" s="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2"/>
  </cols>
  <sheetData>
    <row r="1" customFormat="false" ht="16.15" hidden="false" customHeight="false" outlineLevel="0" collapsed="false">
      <c r="A1" s="1" t="s">
        <v>47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</row>
    <row r="3" customFormat="false" ht="15" hidden="false" customHeight="false" outlineLevel="0" collapsed="false">
      <c r="A3" s="5" t="s">
        <v>48</v>
      </c>
      <c r="B3" s="6" t="n">
        <v>2025</v>
      </c>
      <c r="C3" s="6" t="n">
        <v>2026</v>
      </c>
      <c r="D3" s="6" t="n">
        <v>2027</v>
      </c>
      <c r="E3" s="6" t="n">
        <v>2028</v>
      </c>
      <c r="F3" s="6" t="n">
        <v>2029</v>
      </c>
      <c r="G3" s="6" t="n">
        <v>2030</v>
      </c>
      <c r="H3" s="6" t="n">
        <v>2031</v>
      </c>
      <c r="I3" s="6" t="n">
        <v>2032</v>
      </c>
    </row>
    <row r="4" customFormat="false" ht="15" hidden="false" customHeight="false" outlineLevel="0" collapsed="false">
      <c r="A4" s="14" t="s">
        <v>49</v>
      </c>
      <c r="B4" s="15"/>
      <c r="C4" s="15"/>
      <c r="D4" s="15"/>
      <c r="E4" s="15"/>
      <c r="F4" s="15"/>
      <c r="G4" s="15"/>
      <c r="H4" s="15"/>
      <c r="I4" s="15"/>
    </row>
    <row r="5" customFormat="false" ht="15" hidden="false" customHeight="false" outlineLevel="0" collapsed="false">
      <c r="A5" s="4" t="s">
        <v>50</v>
      </c>
      <c r="B5" s="4"/>
      <c r="C5" s="16" t="n">
        <f aca="false">Ipotesi!$B$4</f>
        <v>1.367</v>
      </c>
      <c r="D5" s="8" t="n">
        <f aca="false">C10</f>
        <v>1.381</v>
      </c>
      <c r="E5" s="8" t="n">
        <f aca="false">D10</f>
        <v>1.384</v>
      </c>
      <c r="F5" s="8" t="n">
        <f aca="false">E10</f>
        <v>1.377</v>
      </c>
      <c r="G5" s="8" t="n">
        <f aca="false">F10</f>
        <v>1.363</v>
      </c>
      <c r="H5" s="8" t="n">
        <f aca="false">G10</f>
        <v>1.34998218858694</v>
      </c>
      <c r="I5" s="8" t="n">
        <f aca="false">H10</f>
        <v>1.33684993706284</v>
      </c>
    </row>
    <row r="6" customFormat="false" ht="15" hidden="false" customHeight="false" outlineLevel="0" collapsed="false">
      <c r="A6" s="4" t="s">
        <v>51</v>
      </c>
      <c r="B6" s="4"/>
      <c r="C6" s="8" t="n">
        <f aca="false">Ipotesi!C5</f>
        <v>0.027</v>
      </c>
      <c r="D6" s="8" t="n">
        <f aca="false">Ipotesi!D5</f>
        <v>0.029</v>
      </c>
      <c r="E6" s="8" t="n">
        <f aca="false">Ipotesi!E5</f>
        <v>0.027</v>
      </c>
      <c r="F6" s="8" t="n">
        <f aca="false">Ipotesi!F5</f>
        <v>0.026</v>
      </c>
      <c r="G6" s="8" t="n">
        <f aca="false">Ipotesi!G5</f>
        <v>0.026</v>
      </c>
      <c r="H6" s="8" t="n">
        <f aca="false">Ipotesi!H5</f>
        <v>0.026</v>
      </c>
      <c r="I6" s="8" t="n">
        <f aca="false">Ipotesi!I5</f>
        <v>0.026</v>
      </c>
    </row>
    <row r="7" customFormat="false" ht="15" hidden="false" customHeight="false" outlineLevel="0" collapsed="false">
      <c r="A7" s="4" t="s">
        <v>52</v>
      </c>
      <c r="B7" s="4"/>
      <c r="C7" s="10" t="n">
        <f aca="false">Ipotesi!C9</f>
        <v>0.0308024871982443</v>
      </c>
      <c r="D7" s="10" t="n">
        <f aca="false">Ipotesi!D9</f>
        <v>0.0320398262128892</v>
      </c>
      <c r="E7" s="10" t="n">
        <f aca="false">Ipotesi!E9</f>
        <v>0.0341343930635838</v>
      </c>
      <c r="F7" s="10" t="n">
        <f aca="false">Ipotesi!F9</f>
        <v>0.0350196078431373</v>
      </c>
      <c r="G7" s="10" t="n">
        <f aca="false">Ipotesi!G9</f>
        <v>0.0350196078431373</v>
      </c>
      <c r="H7" s="10" t="n">
        <f aca="false">Ipotesi!H9</f>
        <v>0.0350196078431373</v>
      </c>
      <c r="I7" s="10" t="n">
        <f aca="false">Ipotesi!I9</f>
        <v>0.0350196078431373</v>
      </c>
    </row>
    <row r="8" customFormat="false" ht="15" hidden="false" customHeight="false" outlineLevel="0" collapsed="false">
      <c r="A8" s="4" t="s">
        <v>53</v>
      </c>
      <c r="B8" s="4"/>
      <c r="C8" s="8" t="n">
        <f aca="false">Ipotesi!C7</f>
        <v>0.012</v>
      </c>
      <c r="D8" s="8" t="n">
        <f aca="false">Ipotesi!D7</f>
        <v>0.014</v>
      </c>
      <c r="E8" s="8" t="n">
        <f aca="false">Ipotesi!E7</f>
        <v>0.019</v>
      </c>
      <c r="F8" s="8" t="n">
        <f aca="false">Ipotesi!F7</f>
        <v>0.025</v>
      </c>
      <c r="G8" s="8" t="n">
        <f aca="false">Ipotesi!G7</f>
        <v>0.025</v>
      </c>
      <c r="H8" s="8" t="n">
        <f aca="false">Ipotesi!H7</f>
        <v>0.025</v>
      </c>
      <c r="I8" s="8" t="n">
        <f aca="false">Ipotesi!I7</f>
        <v>0.025</v>
      </c>
    </row>
    <row r="9" customFormat="false" ht="15" hidden="false" customHeight="false" outlineLevel="0" collapsed="false">
      <c r="A9" s="4" t="s">
        <v>54</v>
      </c>
      <c r="B9" s="4"/>
      <c r="C9" s="8" t="n">
        <f aca="false">Ipotesi!C10</f>
        <v>0.0209386562804281</v>
      </c>
      <c r="D9" s="8" t="n">
        <f aca="false">Ipotesi!D10</f>
        <v>0.0129203109815352</v>
      </c>
      <c r="E9" s="8" t="n">
        <f aca="false">Ipotesi!E10</f>
        <v>0.00238558909444984</v>
      </c>
      <c r="F9" s="8" t="n">
        <f aca="false">Ipotesi!F10</f>
        <v>-0.00110526315789463</v>
      </c>
      <c r="G9" s="8" t="n">
        <f aca="false">Ipotesi!G10</f>
        <v>0</v>
      </c>
      <c r="H9" s="8" t="n">
        <f aca="false">Ipotesi!H10</f>
        <v>0</v>
      </c>
      <c r="I9" s="8" t="n">
        <f aca="false">Ipotesi!I10</f>
        <v>0</v>
      </c>
    </row>
    <row r="10" customFormat="false" ht="15" hidden="false" customHeight="false" outlineLevel="0" collapsed="false">
      <c r="A10" s="3" t="s">
        <v>55</v>
      </c>
      <c r="B10" s="4"/>
      <c r="C10" s="17" t="n">
        <f aca="false">C5*(1+C7)/(1+C6)-C8+C9</f>
        <v>1.381</v>
      </c>
      <c r="D10" s="17" t="n">
        <f aca="false">D5*(1+D7)/(1+D6)-D8+D9</f>
        <v>1.384</v>
      </c>
      <c r="E10" s="17" t="n">
        <f aca="false">E5*(1+E7)/(1+E6)-E8+E9</f>
        <v>1.377</v>
      </c>
      <c r="F10" s="17" t="n">
        <f aca="false">F5*(1+F7)/(1+F6)-F8+F9</f>
        <v>1.363</v>
      </c>
      <c r="G10" s="17" t="n">
        <f aca="false">G5*(1+G7)/(1+G6)-G8+G9</f>
        <v>1.34998218858694</v>
      </c>
      <c r="H10" s="17" t="n">
        <f aca="false">H5*(1+H7)/(1+H6)-H8+H9</f>
        <v>1.33684993706284</v>
      </c>
      <c r="I10" s="17" t="n">
        <f aca="false">I5*(1+I7)/(1+I6)-I8+I9</f>
        <v>1.32360223938002</v>
      </c>
    </row>
    <row r="11" customFormat="false" ht="15" hidden="false" customHeight="false" outlineLevel="0" collapsed="false">
      <c r="A11" s="4" t="s">
        <v>56</v>
      </c>
      <c r="B11" s="4"/>
      <c r="C11" s="8" t="n">
        <f aca="false">C5*(C7-C6)/(1+C6)+C9</f>
        <v>0.0259999999999997</v>
      </c>
      <c r="D11" s="8" t="n">
        <f aca="false">D5*(D7-D6)/(1+D6)+D9</f>
        <v>0.0169999999999998</v>
      </c>
      <c r="E11" s="8" t="n">
        <f aca="false">E5*(E7-E6)/(1+E6)+E9</f>
        <v>0.012</v>
      </c>
      <c r="F11" s="8" t="n">
        <f aca="false">F5*(F7-F6)/(1+F6)+F9</f>
        <v>0.0110000000000001</v>
      </c>
      <c r="G11" s="8" t="n">
        <f aca="false">G5*(G7-G6)/(1+G6)+G9</f>
        <v>0.0119821885869358</v>
      </c>
      <c r="H11" s="8" t="n">
        <f aca="false">H5*(H7-H6)/(1+H6)+H9</f>
        <v>0.0118677484759009</v>
      </c>
      <c r="I11" s="8" t="n">
        <f aca="false">I5*(I7-I6)/(1+I6)+I9</f>
        <v>0.0117523023171828</v>
      </c>
    </row>
    <row r="12" customFormat="false" ht="15" hidden="false" customHeight="false" outlineLevel="0" collapsed="false">
      <c r="A12" s="4" t="s">
        <v>57</v>
      </c>
      <c r="B12" s="4"/>
      <c r="C12" s="18" t="n">
        <f aca="false">(C10-C$10)*100</f>
        <v>0</v>
      </c>
      <c r="D12" s="18" t="n">
        <f aca="false">(D10-D$10)*100</f>
        <v>0</v>
      </c>
      <c r="E12" s="18" t="n">
        <f aca="false">(E10-E$10)*100</f>
        <v>0</v>
      </c>
      <c r="F12" s="18" t="n">
        <f aca="false">(F10-F$10)*100</f>
        <v>0</v>
      </c>
      <c r="G12" s="18" t="n">
        <f aca="false">(G10-G$10)*100</f>
        <v>0</v>
      </c>
      <c r="H12" s="18" t="n">
        <f aca="false">(H10-H$10)*100</f>
        <v>0</v>
      </c>
      <c r="I12" s="18" t="n">
        <f aca="false">(I10-I$10)*100</f>
        <v>0</v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</row>
    <row r="15" customFormat="false" ht="15" hidden="false" customHeight="false" outlineLevel="0" collapsed="false">
      <c r="A15" s="14" t="s">
        <v>58</v>
      </c>
      <c r="B15" s="15"/>
      <c r="C15" s="15"/>
      <c r="D15" s="15"/>
      <c r="E15" s="15"/>
      <c r="F15" s="15"/>
      <c r="G15" s="15"/>
      <c r="H15" s="15"/>
      <c r="I15" s="15"/>
    </row>
    <row r="16" customFormat="false" ht="15" hidden="false" customHeight="false" outlineLevel="0" collapsed="false">
      <c r="A16" s="4" t="s">
        <v>50</v>
      </c>
      <c r="B16" s="4"/>
      <c r="C16" s="16" t="n">
        <f aca="false">Ipotesi!$B$4</f>
        <v>1.367</v>
      </c>
      <c r="D16" s="8" t="n">
        <f aca="false">C21</f>
        <v>1.381</v>
      </c>
      <c r="E16" s="8" t="n">
        <f aca="false">D21</f>
        <v>1.384</v>
      </c>
      <c r="F16" s="8" t="n">
        <f aca="false">E21</f>
        <v>1.3743</v>
      </c>
      <c r="G16" s="8" t="n">
        <f aca="false">F21</f>
        <v>1.35757626418989</v>
      </c>
      <c r="H16" s="8" t="n">
        <f aca="false">G21</f>
        <v>1.34181077249412</v>
      </c>
      <c r="I16" s="8" t="n">
        <f aca="false">H21</f>
        <v>1.3259066857179</v>
      </c>
    </row>
    <row r="17" customFormat="false" ht="15" hidden="false" customHeight="false" outlineLevel="0" collapsed="false">
      <c r="A17" s="4" t="s">
        <v>51</v>
      </c>
      <c r="B17" s="4"/>
      <c r="C17" s="8" t="n">
        <f aca="false">Ipotesi!C5</f>
        <v>0.027</v>
      </c>
      <c r="D17" s="8" t="n">
        <f aca="false">Ipotesi!D5</f>
        <v>0.029</v>
      </c>
      <c r="E17" s="8" t="n">
        <f aca="false">Ipotesi!E5</f>
        <v>0.027</v>
      </c>
      <c r="F17" s="8" t="n">
        <f aca="false">Ipotesi!F5</f>
        <v>0.026</v>
      </c>
      <c r="G17" s="8" t="n">
        <f aca="false">Ipotesi!G5</f>
        <v>0.026</v>
      </c>
      <c r="H17" s="8" t="n">
        <f aca="false">Ipotesi!H5</f>
        <v>0.026</v>
      </c>
      <c r="I17" s="8" t="n">
        <f aca="false">Ipotesi!I5</f>
        <v>0.026</v>
      </c>
    </row>
    <row r="18" customFormat="false" ht="15" hidden="false" customHeight="false" outlineLevel="0" collapsed="false">
      <c r="A18" s="4" t="s">
        <v>52</v>
      </c>
      <c r="B18" s="4"/>
      <c r="C18" s="10" t="n">
        <f aca="false">Ipotesi!C9</f>
        <v>0.0308024871982443</v>
      </c>
      <c r="D18" s="10" t="n">
        <f aca="false">Ipotesi!D9</f>
        <v>0.0320398262128892</v>
      </c>
      <c r="E18" s="10" t="n">
        <f aca="false">Ipotesi!E9</f>
        <v>0.0341343930635838</v>
      </c>
      <c r="F18" s="10" t="n">
        <f aca="false">Ipotesi!F9</f>
        <v>0.0350196078431373</v>
      </c>
      <c r="G18" s="10" t="n">
        <f aca="false">Ipotesi!G9</f>
        <v>0.0350196078431373</v>
      </c>
      <c r="H18" s="10" t="n">
        <f aca="false">Ipotesi!H9</f>
        <v>0.0350196078431373</v>
      </c>
      <c r="I18" s="10" t="n">
        <f aca="false">Ipotesi!I9</f>
        <v>0.0350196078431373</v>
      </c>
    </row>
    <row r="19" customFormat="false" ht="15" hidden="false" customHeight="false" outlineLevel="0" collapsed="false">
      <c r="A19" s="4" t="s">
        <v>53</v>
      </c>
      <c r="B19" s="4"/>
      <c r="C19" s="8" t="n">
        <f aca="false">Ipotesi!C7+IF(C$3&gt;=Ipotesi!$B$14,Ipotesi!$B$13,0)</f>
        <v>0.012</v>
      </c>
      <c r="D19" s="8" t="n">
        <f aca="false">Ipotesi!D7+IF(D$3&gt;=Ipotesi!$B$14,Ipotesi!$B$13,0)</f>
        <v>0.014</v>
      </c>
      <c r="E19" s="8" t="n">
        <f aca="false">Ipotesi!E7+IF(E$3&gt;=Ipotesi!$B$14,Ipotesi!$B$13,0)</f>
        <v>0.0217</v>
      </c>
      <c r="F19" s="8" t="n">
        <f aca="false">Ipotesi!F7+IF(F$3&gt;=Ipotesi!$B$14,Ipotesi!$B$13,0)</f>
        <v>0.0277</v>
      </c>
      <c r="G19" s="8" t="n">
        <f aca="false">Ipotesi!G7+IF(G$3&gt;=Ipotesi!$B$14,Ipotesi!$B$13,0)</f>
        <v>0.0277</v>
      </c>
      <c r="H19" s="8" t="n">
        <f aca="false">Ipotesi!H7+IF(H$3&gt;=Ipotesi!$B$14,Ipotesi!$B$13,0)</f>
        <v>0.0277</v>
      </c>
      <c r="I19" s="8" t="n">
        <f aca="false">Ipotesi!I7+IF(I$3&gt;=Ipotesi!$B$14,Ipotesi!$B$13,0)</f>
        <v>0.0277</v>
      </c>
    </row>
    <row r="20" customFormat="false" ht="15" hidden="false" customHeight="false" outlineLevel="0" collapsed="false">
      <c r="A20" s="4" t="s">
        <v>54</v>
      </c>
      <c r="B20" s="4"/>
      <c r="C20" s="8" t="n">
        <f aca="false">Ipotesi!C10</f>
        <v>0.0209386562804281</v>
      </c>
      <c r="D20" s="8" t="n">
        <f aca="false">Ipotesi!D10</f>
        <v>0.0129203109815352</v>
      </c>
      <c r="E20" s="8" t="n">
        <f aca="false">Ipotesi!E10</f>
        <v>0.00238558909444984</v>
      </c>
      <c r="F20" s="8" t="n">
        <f aca="false">Ipotesi!F10</f>
        <v>-0.00110526315789463</v>
      </c>
      <c r="G20" s="8" t="n">
        <f aca="false">Ipotesi!G10</f>
        <v>0</v>
      </c>
      <c r="H20" s="8" t="n">
        <f aca="false">Ipotesi!H10</f>
        <v>0</v>
      </c>
      <c r="I20" s="8" t="n">
        <f aca="false">Ipotesi!I10</f>
        <v>0</v>
      </c>
    </row>
    <row r="21" customFormat="false" ht="15" hidden="false" customHeight="false" outlineLevel="0" collapsed="false">
      <c r="A21" s="3" t="s">
        <v>55</v>
      </c>
      <c r="B21" s="4"/>
      <c r="C21" s="17" t="n">
        <f aca="false">C16*(1+C18)/(1+C17)-C19+C20</f>
        <v>1.381</v>
      </c>
      <c r="D21" s="17" t="n">
        <f aca="false">D16*(1+D18)/(1+D17)-D19+D20</f>
        <v>1.384</v>
      </c>
      <c r="E21" s="17" t="n">
        <f aca="false">E16*(1+E18)/(1+E17)-E19+E20</f>
        <v>1.3743</v>
      </c>
      <c r="F21" s="17" t="n">
        <f aca="false">F16*(1+F18)/(1+F17)-F19+F20</f>
        <v>1.35757626418989</v>
      </c>
      <c r="G21" s="17" t="n">
        <f aca="false">G16*(1+G18)/(1+G17)-G19+G20</f>
        <v>1.34181077249412</v>
      </c>
      <c r="H21" s="17" t="n">
        <f aca="false">H16*(1+H18)/(1+H17)-H19+H20</f>
        <v>1.3259066857179</v>
      </c>
      <c r="I21" s="17" t="n">
        <f aca="false">I16*(1+I18)/(1+I17)-I19+I20</f>
        <v>1.30986278546621</v>
      </c>
    </row>
    <row r="22" customFormat="false" ht="15" hidden="false" customHeight="false" outlineLevel="0" collapsed="false">
      <c r="A22" s="4" t="s">
        <v>56</v>
      </c>
      <c r="B22" s="4"/>
      <c r="C22" s="8" t="n">
        <f aca="false">C16*(C18-C17)/(1+C17)+C20</f>
        <v>0.0259999999999997</v>
      </c>
      <c r="D22" s="8" t="n">
        <f aca="false">D16*(D18-D17)/(1+D17)+D20</f>
        <v>0.0169999999999998</v>
      </c>
      <c r="E22" s="8" t="n">
        <f aca="false">E16*(E18-E17)/(1+E17)+E20</f>
        <v>0.012</v>
      </c>
      <c r="F22" s="8" t="n">
        <f aca="false">F16*(F18-F17)/(1+F17)+F20</f>
        <v>0.0109762641898866</v>
      </c>
      <c r="G22" s="8" t="n">
        <f aca="false">G16*(G18-G17)/(1+G17)+G20</f>
        <v>0.011934508304234</v>
      </c>
      <c r="H22" s="8" t="n">
        <f aca="false">H16*(H18-H17)/(1+H17)+H20</f>
        <v>0.0117959132237759</v>
      </c>
      <c r="I22" s="8" t="n">
        <f aca="false">I16*(I18-I17)/(1+I17)+I20</f>
        <v>0.0116560997483131</v>
      </c>
    </row>
    <row r="23" customFormat="false" ht="15" hidden="false" customHeight="false" outlineLevel="0" collapsed="false">
      <c r="A23" s="4" t="s">
        <v>57</v>
      </c>
      <c r="B23" s="4"/>
      <c r="C23" s="18" t="n">
        <f aca="false">(C21-C$10)*100</f>
        <v>0</v>
      </c>
      <c r="D23" s="18" t="n">
        <f aca="false">(D21-D$10)*100</f>
        <v>0</v>
      </c>
      <c r="E23" s="18" t="n">
        <f aca="false">(E21-E$10)*100</f>
        <v>-0.270000000000015</v>
      </c>
      <c r="F23" s="18" t="n">
        <f aca="false">(F21-F$10)*100</f>
        <v>-0.542373581011368</v>
      </c>
      <c r="G23" s="18" t="n">
        <f aca="false">(G21-G$10)*100</f>
        <v>-0.817141609281569</v>
      </c>
      <c r="H23" s="18" t="n">
        <f aca="false">(H21-H$10)*100</f>
        <v>-1.0943251344941</v>
      </c>
      <c r="I23" s="18" t="n">
        <f aca="false">(I21-I$10)*100</f>
        <v>-1.37394539138109</v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false" outlineLevel="0" collapsed="false">
      <c r="A26" s="14" t="s">
        <v>59</v>
      </c>
      <c r="B26" s="15"/>
      <c r="C26" s="15"/>
      <c r="D26" s="15"/>
      <c r="E26" s="15"/>
      <c r="F26" s="15"/>
      <c r="G26" s="15"/>
      <c r="H26" s="15"/>
      <c r="I26" s="15"/>
    </row>
    <row r="27" customFormat="false" ht="15" hidden="false" customHeight="false" outlineLevel="0" collapsed="false">
      <c r="A27" s="4" t="s">
        <v>50</v>
      </c>
      <c r="B27" s="4"/>
      <c r="C27" s="16" t="n">
        <f aca="false">Ipotesi!$B$4</f>
        <v>1.367</v>
      </c>
      <c r="D27" s="8" t="n">
        <f aca="false">C32</f>
        <v>1.381</v>
      </c>
      <c r="E27" s="8" t="n">
        <f aca="false">D32</f>
        <v>1.384</v>
      </c>
      <c r="F27" s="8" t="n">
        <f aca="false">E32</f>
        <v>1.3743</v>
      </c>
      <c r="G27" s="8" t="n">
        <f aca="false">F32</f>
        <v>1.35353433553873</v>
      </c>
      <c r="H27" s="8" t="n">
        <f aca="false">G32</f>
        <v>1.33375245594899</v>
      </c>
      <c r="I27" s="8" t="n">
        <f aca="false">H32</f>
        <v>1.3138548531741</v>
      </c>
    </row>
    <row r="28" customFormat="false" ht="15" hidden="false" customHeight="false" outlineLevel="0" collapsed="false">
      <c r="A28" s="4" t="s">
        <v>51</v>
      </c>
      <c r="B28" s="4"/>
      <c r="C28" s="8" t="n">
        <f aca="false">Ipotesi!C5+IF(C$3&gt;=Ipotesi!$B$16,Ipotesi!$B$15,0)</f>
        <v>0.027</v>
      </c>
      <c r="D28" s="8" t="n">
        <f aca="false">Ipotesi!D5+IF(D$3&gt;=Ipotesi!$B$16,Ipotesi!$B$15,0)</f>
        <v>0.029</v>
      </c>
      <c r="E28" s="8" t="n">
        <f aca="false">Ipotesi!E5+IF(E$3&gt;=Ipotesi!$B$16,Ipotesi!$B$15,0)</f>
        <v>0.027</v>
      </c>
      <c r="F28" s="8" t="n">
        <f aca="false">Ipotesi!F5+IF(F$3&gt;=Ipotesi!$B$16,Ipotesi!$B$15,0)</f>
        <v>0.029</v>
      </c>
      <c r="G28" s="8" t="n">
        <f aca="false">Ipotesi!G5+IF(G$3&gt;=Ipotesi!$B$16,Ipotesi!$B$15,0)</f>
        <v>0.029</v>
      </c>
      <c r="H28" s="8" t="n">
        <f aca="false">Ipotesi!H5+IF(H$3&gt;=Ipotesi!$B$16,Ipotesi!$B$15,0)</f>
        <v>0.029</v>
      </c>
      <c r="I28" s="8" t="n">
        <f aca="false">Ipotesi!I5+IF(I$3&gt;=Ipotesi!$B$16,Ipotesi!$B$15,0)</f>
        <v>0.029</v>
      </c>
    </row>
    <row r="29" customFormat="false" ht="15" hidden="false" customHeight="false" outlineLevel="0" collapsed="false">
      <c r="A29" s="4" t="s">
        <v>52</v>
      </c>
      <c r="B29" s="4"/>
      <c r="C29" s="10" t="n">
        <f aca="false">Ipotesi!C9</f>
        <v>0.0308024871982443</v>
      </c>
      <c r="D29" s="10" t="n">
        <f aca="false">Ipotesi!D9</f>
        <v>0.0320398262128892</v>
      </c>
      <c r="E29" s="10" t="n">
        <f aca="false">Ipotesi!E9</f>
        <v>0.0341343930635838</v>
      </c>
      <c r="F29" s="10" t="n">
        <f aca="false">Ipotesi!F9</f>
        <v>0.0350196078431373</v>
      </c>
      <c r="G29" s="10" t="n">
        <f aca="false">Ipotesi!G9</f>
        <v>0.0350196078431373</v>
      </c>
      <c r="H29" s="10" t="n">
        <f aca="false">Ipotesi!H9</f>
        <v>0.0350196078431373</v>
      </c>
      <c r="I29" s="10" t="n">
        <f aca="false">Ipotesi!I9</f>
        <v>0.0350196078431373</v>
      </c>
    </row>
    <row r="30" customFormat="false" ht="15" hidden="false" customHeight="false" outlineLevel="0" collapsed="false">
      <c r="A30" s="4" t="s">
        <v>53</v>
      </c>
      <c r="B30" s="4"/>
      <c r="C30" s="8" t="n">
        <f aca="false">Ipotesi!C7+IF(C$3&gt;=Ipotesi!$B$14,Ipotesi!$B$13,0)</f>
        <v>0.012</v>
      </c>
      <c r="D30" s="8" t="n">
        <f aca="false">Ipotesi!D7+IF(D$3&gt;=Ipotesi!$B$14,Ipotesi!$B$13,0)</f>
        <v>0.014</v>
      </c>
      <c r="E30" s="8" t="n">
        <f aca="false">Ipotesi!E7+IF(E$3&gt;=Ipotesi!$B$14,Ipotesi!$B$13,0)</f>
        <v>0.0217</v>
      </c>
      <c r="F30" s="8" t="n">
        <f aca="false">Ipotesi!F7+IF(F$3&gt;=Ipotesi!$B$14,Ipotesi!$B$13,0)</f>
        <v>0.0277</v>
      </c>
      <c r="G30" s="8" t="n">
        <f aca="false">Ipotesi!G7+IF(G$3&gt;=Ipotesi!$B$14,Ipotesi!$B$13,0)</f>
        <v>0.0277</v>
      </c>
      <c r="H30" s="8" t="n">
        <f aca="false">Ipotesi!H7+IF(H$3&gt;=Ipotesi!$B$14,Ipotesi!$B$13,0)</f>
        <v>0.0277</v>
      </c>
      <c r="I30" s="8" t="n">
        <f aca="false">Ipotesi!I7+IF(I$3&gt;=Ipotesi!$B$14,Ipotesi!$B$13,0)</f>
        <v>0.0277</v>
      </c>
    </row>
    <row r="31" customFormat="false" ht="15" hidden="false" customHeight="false" outlineLevel="0" collapsed="false">
      <c r="A31" s="4" t="s">
        <v>54</v>
      </c>
      <c r="B31" s="4"/>
      <c r="C31" s="8" t="n">
        <f aca="false">Ipotesi!C10</f>
        <v>0.0209386562804281</v>
      </c>
      <c r="D31" s="8" t="n">
        <f aca="false">Ipotesi!D10</f>
        <v>0.0129203109815352</v>
      </c>
      <c r="E31" s="8" t="n">
        <f aca="false">Ipotesi!E10</f>
        <v>0.00238558909444984</v>
      </c>
      <c r="F31" s="8" t="n">
        <f aca="false">Ipotesi!F10</f>
        <v>-0.00110526315789463</v>
      </c>
      <c r="G31" s="8" t="n">
        <f aca="false">Ipotesi!G10</f>
        <v>0</v>
      </c>
      <c r="H31" s="8" t="n">
        <f aca="false">Ipotesi!H10</f>
        <v>0</v>
      </c>
      <c r="I31" s="8" t="n">
        <f aca="false">Ipotesi!I10</f>
        <v>0</v>
      </c>
    </row>
    <row r="32" customFormat="false" ht="15" hidden="false" customHeight="false" outlineLevel="0" collapsed="false">
      <c r="A32" s="3" t="s">
        <v>55</v>
      </c>
      <c r="B32" s="4"/>
      <c r="C32" s="17" t="n">
        <f aca="false">C27*(1+C29)/(1+C28)-C30+C31</f>
        <v>1.381</v>
      </c>
      <c r="D32" s="17" t="n">
        <f aca="false">D27*(1+D29)/(1+D28)-D30+D31</f>
        <v>1.384</v>
      </c>
      <c r="E32" s="17" t="n">
        <f aca="false">E27*(1+E29)/(1+E28)-E30+E31</f>
        <v>1.3743</v>
      </c>
      <c r="F32" s="17" t="n">
        <f aca="false">F27*(1+F29)/(1+F28)-F30+F31</f>
        <v>1.35353433553873</v>
      </c>
      <c r="G32" s="17" t="n">
        <f aca="false">G27*(1+G29)/(1+G28)-G30+G31</f>
        <v>1.33375245594899</v>
      </c>
      <c r="H32" s="17" t="n">
        <f aca="false">H27*(1+H29)/(1+H28)-H30+H31</f>
        <v>1.3138548531741</v>
      </c>
      <c r="I32" s="17" t="n">
        <f aca="false">I27*(1+I29)/(1+I28)-I30+I31</f>
        <v>1.29384085023815</v>
      </c>
    </row>
    <row r="33" customFormat="false" ht="15" hidden="false" customHeight="false" outlineLevel="0" collapsed="false">
      <c r="A33" s="4" t="s">
        <v>56</v>
      </c>
      <c r="B33" s="4"/>
      <c r="C33" s="8" t="n">
        <f aca="false">C27*(C29-C28)/(1+C28)+C31</f>
        <v>0.0259999999999997</v>
      </c>
      <c r="D33" s="8" t="n">
        <f aca="false">D27*(D29-D28)/(1+D28)+D31</f>
        <v>0.0169999999999998</v>
      </c>
      <c r="E33" s="8" t="n">
        <f aca="false">E27*(E29-E28)/(1+E28)+E31</f>
        <v>0.012</v>
      </c>
      <c r="F33" s="8" t="n">
        <f aca="false">F27*(F29-F28)/(1+F28)+F31</f>
        <v>0.00693433553872688</v>
      </c>
      <c r="G33" s="8" t="n">
        <f aca="false">G27*(G29-G28)/(1+G28)+G31</f>
        <v>0.00791812041026676</v>
      </c>
      <c r="H33" s="8" t="n">
        <f aca="false">H27*(H29-H28)/(1+H28)+H31</f>
        <v>0.00780239722510607</v>
      </c>
      <c r="I33" s="8" t="n">
        <f aca="false">I27*(I29-I28)/(1+I28)+I31</f>
        <v>0.00768599706405322</v>
      </c>
    </row>
    <row r="34" customFormat="false" ht="15" hidden="false" customHeight="false" outlineLevel="0" collapsed="false">
      <c r="A34" s="4" t="s">
        <v>57</v>
      </c>
      <c r="B34" s="4"/>
      <c r="C34" s="18" t="n">
        <f aca="false">(C32-C$10)*100</f>
        <v>0</v>
      </c>
      <c r="D34" s="18" t="n">
        <f aca="false">(D32-D$10)*100</f>
        <v>0</v>
      </c>
      <c r="E34" s="18" t="n">
        <f aca="false">(E32-E$10)*100</f>
        <v>-0.270000000000015</v>
      </c>
      <c r="F34" s="18" t="n">
        <f aca="false">(F32-F$10)*100</f>
        <v>-0.946566446127317</v>
      </c>
      <c r="G34" s="18" t="n">
        <f aca="false">(G32-G$10)*100</f>
        <v>-1.62297326379421</v>
      </c>
      <c r="H34" s="18" t="n">
        <f aca="false">(H32-H$10)*100</f>
        <v>-2.29950838887369</v>
      </c>
      <c r="I34" s="18" t="n">
        <f aca="false">(I32-I$10)*100</f>
        <v>-2.97613891418664</v>
      </c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</row>
    <row r="37" customFormat="false" ht="15" hidden="false" customHeight="false" outlineLevel="0" collapsed="false">
      <c r="A37" s="14" t="s">
        <v>60</v>
      </c>
      <c r="B37" s="15"/>
      <c r="C37" s="15"/>
      <c r="D37" s="15"/>
      <c r="E37" s="15"/>
      <c r="F37" s="15"/>
      <c r="G37" s="15"/>
      <c r="H37" s="15"/>
      <c r="I37" s="15"/>
    </row>
    <row r="38" customFormat="false" ht="15" hidden="false" customHeight="false" outlineLevel="0" collapsed="false">
      <c r="A38" s="4" t="s">
        <v>50</v>
      </c>
      <c r="B38" s="4"/>
      <c r="C38" s="16" t="n">
        <f aca="false">Ipotesi!$B$4</f>
        <v>1.367</v>
      </c>
      <c r="D38" s="8" t="n">
        <f aca="false">C43</f>
        <v>1.381</v>
      </c>
      <c r="E38" s="8" t="n">
        <f aca="false">D43</f>
        <v>1.384</v>
      </c>
      <c r="F38" s="8" t="n">
        <f aca="false">E43</f>
        <v>1.37870584102646</v>
      </c>
      <c r="G38" s="8" t="n">
        <f aca="false">F43</f>
        <v>1.36812278113499</v>
      </c>
      <c r="H38" s="8" t="n">
        <f aca="false">G43</f>
        <v>1.36021374988103</v>
      </c>
      <c r="I38" s="8" t="n">
        <f aca="false">H43</f>
        <v>1.35388407428065</v>
      </c>
    </row>
    <row r="39" customFormat="false" ht="15" hidden="false" customHeight="false" outlineLevel="0" collapsed="false">
      <c r="A39" s="4" t="s">
        <v>51</v>
      </c>
      <c r="B39" s="4"/>
      <c r="C39" s="8" t="n">
        <f aca="false">Ipotesi!C5</f>
        <v>0.027</v>
      </c>
      <c r="D39" s="8" t="n">
        <f aca="false">Ipotesi!D5</f>
        <v>0.029</v>
      </c>
      <c r="E39" s="8" t="n">
        <f aca="false">Ipotesi!E5</f>
        <v>0.027</v>
      </c>
      <c r="F39" s="8" t="n">
        <f aca="false">Ipotesi!F5</f>
        <v>0.026</v>
      </c>
      <c r="G39" s="8" t="n">
        <f aca="false">Ipotesi!G5</f>
        <v>0.026</v>
      </c>
      <c r="H39" s="8" t="n">
        <f aca="false">Ipotesi!H5</f>
        <v>0.026</v>
      </c>
      <c r="I39" s="8" t="n">
        <f aca="false">Ipotesi!I5</f>
        <v>0.026</v>
      </c>
    </row>
    <row r="40" customFormat="false" ht="15" hidden="false" customHeight="false" outlineLevel="0" collapsed="false">
      <c r="A40" s="4" t="s">
        <v>52</v>
      </c>
      <c r="B40" s="4"/>
      <c r="C40" s="10" t="n">
        <f aca="false">Ipotesi!C9+Ipotesi!$B$17*MIN(1,MAX(0,C$3-Ipotesi!$B$18+1)*Ipotesi!$B$20)</f>
        <v>0.0308024871982443</v>
      </c>
      <c r="D40" s="10" t="n">
        <f aca="false">Ipotesi!D9+Ipotesi!$B$17*MIN(1,MAX(0,D$3-Ipotesi!$B$18+1)*Ipotesi!$B$20)</f>
        <v>0.0320398262128892</v>
      </c>
      <c r="E40" s="10" t="n">
        <f aca="false">Ipotesi!E9+Ipotesi!$B$17*MIN(1,MAX(0,E$3-Ipotesi!$B$18+1)*Ipotesi!$B$20)</f>
        <v>0.0354002158483939</v>
      </c>
      <c r="F40" s="10" t="n">
        <f aca="false">Ipotesi!F9+Ipotesi!$B$17*MIN(1,MAX(0,F$3-Ipotesi!$B$18+1)*Ipotesi!$B$20)</f>
        <v>0.0375512534127575</v>
      </c>
      <c r="G40" s="10" t="n">
        <f aca="false">Ipotesi!G9+Ipotesi!$B$17*MIN(1,MAX(0,G$3-Ipotesi!$B$18+1)*Ipotesi!$B$20)</f>
        <v>0.0388170761975676</v>
      </c>
      <c r="H40" s="10" t="n">
        <f aca="false">Ipotesi!H9+Ipotesi!$B$17*MIN(1,MAX(0,H$3-Ipotesi!$B$18+1)*Ipotesi!$B$20)</f>
        <v>0.0400828989823778</v>
      </c>
      <c r="I40" s="10" t="n">
        <f aca="false">Ipotesi!I9+Ipotesi!$B$17*MIN(1,MAX(0,I$3-Ipotesi!$B$18+1)*Ipotesi!$B$20)</f>
        <v>0.0413487217671879</v>
      </c>
    </row>
    <row r="41" customFormat="false" ht="15" hidden="false" customHeight="false" outlineLevel="0" collapsed="false">
      <c r="A41" s="4" t="s">
        <v>53</v>
      </c>
      <c r="B41" s="4"/>
      <c r="C41" s="8" t="n">
        <f aca="false">Ipotesi!C7</f>
        <v>0.012</v>
      </c>
      <c r="D41" s="8" t="n">
        <f aca="false">Ipotesi!D7</f>
        <v>0.014</v>
      </c>
      <c r="E41" s="8" t="n">
        <f aca="false">Ipotesi!E7</f>
        <v>0.019</v>
      </c>
      <c r="F41" s="8" t="n">
        <f aca="false">Ipotesi!F7</f>
        <v>0.025</v>
      </c>
      <c r="G41" s="8" t="n">
        <f aca="false">Ipotesi!G7</f>
        <v>0.025</v>
      </c>
      <c r="H41" s="8" t="n">
        <f aca="false">Ipotesi!H7</f>
        <v>0.025</v>
      </c>
      <c r="I41" s="8" t="n">
        <f aca="false">Ipotesi!I7</f>
        <v>0.025</v>
      </c>
    </row>
    <row r="42" customFormat="false" ht="15" hidden="false" customHeight="false" outlineLevel="0" collapsed="false">
      <c r="A42" s="4" t="s">
        <v>54</v>
      </c>
      <c r="B42" s="4"/>
      <c r="C42" s="8" t="n">
        <f aca="false">Ipotesi!C10</f>
        <v>0.0209386562804281</v>
      </c>
      <c r="D42" s="8" t="n">
        <f aca="false">Ipotesi!D10</f>
        <v>0.0129203109815352</v>
      </c>
      <c r="E42" s="8" t="n">
        <f aca="false">Ipotesi!E10</f>
        <v>0.00238558909444984</v>
      </c>
      <c r="F42" s="8" t="n">
        <f aca="false">Ipotesi!F10</f>
        <v>-0.00110526315789463</v>
      </c>
      <c r="G42" s="8" t="n">
        <f aca="false">Ipotesi!G10</f>
        <v>0</v>
      </c>
      <c r="H42" s="8" t="n">
        <f aca="false">Ipotesi!H10</f>
        <v>0</v>
      </c>
      <c r="I42" s="8" t="n">
        <f aca="false">Ipotesi!I10</f>
        <v>0</v>
      </c>
    </row>
    <row r="43" customFormat="false" ht="15" hidden="false" customHeight="false" outlineLevel="0" collapsed="false">
      <c r="A43" s="3" t="s">
        <v>55</v>
      </c>
      <c r="B43" s="4"/>
      <c r="C43" s="17" t="n">
        <f aca="false">C38*(1+C40)/(1+C39)-C41+C42</f>
        <v>1.381</v>
      </c>
      <c r="D43" s="17" t="n">
        <f aca="false">D38*(1+D40)/(1+D39)-D41+D42</f>
        <v>1.384</v>
      </c>
      <c r="E43" s="17" t="n">
        <f aca="false">E38*(1+E40)/(1+E39)-E41+E42</f>
        <v>1.37870584102646</v>
      </c>
      <c r="F43" s="17" t="n">
        <f aca="false">F38*(1+F40)/(1+F39)-F41+F42</f>
        <v>1.36812278113499</v>
      </c>
      <c r="G43" s="17" t="n">
        <f aca="false">G38*(1+G40)/(1+G39)-G41+G42</f>
        <v>1.36021374988103</v>
      </c>
      <c r="H43" s="17" t="n">
        <f aca="false">H38*(1+H40)/(1+H39)-H41+H42</f>
        <v>1.35388407428065</v>
      </c>
      <c r="I43" s="17" t="n">
        <f aca="false">I38*(1+I40)/(1+I39)-I41+I42</f>
        <v>1.3491378656658</v>
      </c>
    </row>
    <row r="44" customFormat="false" ht="15" hidden="false" customHeight="false" outlineLevel="0" collapsed="false">
      <c r="A44" s="4" t="s">
        <v>56</v>
      </c>
      <c r="B44" s="4"/>
      <c r="C44" s="8" t="n">
        <f aca="false">C38*(C40-C39)/(1+C39)+C42</f>
        <v>0.0259999999999997</v>
      </c>
      <c r="D44" s="8" t="n">
        <f aca="false">D38*(D40-D39)/(1+D39)+D42</f>
        <v>0.0169999999999998</v>
      </c>
      <c r="E44" s="8" t="n">
        <f aca="false">E38*(E40-E39)/(1+E39)+E42</f>
        <v>0.0137058410264627</v>
      </c>
      <c r="F44" s="8" t="n">
        <f aca="false">F38*(F40-F39)/(1+F39)+F42</f>
        <v>0.0144169401085241</v>
      </c>
      <c r="G44" s="8" t="n">
        <f aca="false">G38*(G40-G39)/(1+G39)+G42</f>
        <v>0.0170909687460383</v>
      </c>
      <c r="H44" s="8" t="n">
        <f aca="false">H38*(H40-H39)/(1+H39)+H42</f>
        <v>0.0186703243996255</v>
      </c>
      <c r="I44" s="8" t="n">
        <f aca="false">I38*(I40-I39)/(1+I39)+I42</f>
        <v>0.0202537913851466</v>
      </c>
    </row>
    <row r="45" customFormat="false" ht="15" hidden="false" customHeight="false" outlineLevel="0" collapsed="false">
      <c r="A45" s="4" t="s">
        <v>57</v>
      </c>
      <c r="B45" s="4"/>
      <c r="C45" s="18" t="n">
        <f aca="false">(C43-C$10)*100</f>
        <v>0</v>
      </c>
      <c r="D45" s="18" t="n">
        <f aca="false">(D43-D$10)*100</f>
        <v>0</v>
      </c>
      <c r="E45" s="18" t="n">
        <f aca="false">(E43-E$10)*100</f>
        <v>0.170584102646276</v>
      </c>
      <c r="F45" s="18" t="n">
        <f aca="false">(F43-F$10)*100</f>
        <v>0.512278113498699</v>
      </c>
      <c r="G45" s="18" t="n">
        <f aca="false">(G43-G$10)*100</f>
        <v>1.02315612940895</v>
      </c>
      <c r="H45" s="18" t="n">
        <f aca="false">(H43-H$10)*100</f>
        <v>1.70341372178142</v>
      </c>
      <c r="I45" s="18" t="n">
        <f aca="false">(I43-I$10)*100</f>
        <v>2.5535626285778</v>
      </c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</row>
    <row r="48" customFormat="false" ht="15" hidden="false" customHeight="false" outlineLevel="0" collapsed="false">
      <c r="A48" s="5" t="s">
        <v>61</v>
      </c>
      <c r="B48" s="5" t="s">
        <v>62</v>
      </c>
      <c r="C48" s="5" t="s">
        <v>63</v>
      </c>
      <c r="D48" s="5" t="s">
        <v>64</v>
      </c>
      <c r="E48" s="4"/>
      <c r="F48" s="4"/>
      <c r="G48" s="4"/>
      <c r="H48" s="4"/>
      <c r="I48" s="4"/>
    </row>
    <row r="49" customFormat="false" ht="15" hidden="false" customHeight="false" outlineLevel="0" collapsed="false">
      <c r="A49" s="4" t="s">
        <v>49</v>
      </c>
      <c r="B49" s="8" t="n">
        <f aca="false">F10</f>
        <v>1.363</v>
      </c>
      <c r="C49" s="8" t="n">
        <f aca="false">I10</f>
        <v>1.32360223938002</v>
      </c>
      <c r="D49" s="18" t="n">
        <f aca="false">I12</f>
        <v>0</v>
      </c>
      <c r="E49" s="4"/>
      <c r="F49" s="4"/>
      <c r="G49" s="4"/>
      <c r="H49" s="4"/>
      <c r="I49" s="4"/>
    </row>
    <row r="50" customFormat="false" ht="15" hidden="false" customHeight="false" outlineLevel="0" collapsed="false">
      <c r="A50" s="4" t="s">
        <v>58</v>
      </c>
      <c r="B50" s="8" t="n">
        <f aca="false">F21</f>
        <v>1.35757626418989</v>
      </c>
      <c r="C50" s="8" t="n">
        <f aca="false">I21</f>
        <v>1.30986278546621</v>
      </c>
      <c r="D50" s="18" t="n">
        <f aca="false">I23</f>
        <v>-1.37394539138109</v>
      </c>
      <c r="E50" s="4"/>
      <c r="F50" s="4"/>
      <c r="G50" s="4"/>
      <c r="H50" s="4"/>
      <c r="I50" s="4"/>
    </row>
    <row r="51" customFormat="false" ht="15" hidden="false" customHeight="false" outlineLevel="0" collapsed="false">
      <c r="A51" s="4" t="s">
        <v>59</v>
      </c>
      <c r="B51" s="8" t="n">
        <f aca="false">F32</f>
        <v>1.35353433553873</v>
      </c>
      <c r="C51" s="8" t="n">
        <f aca="false">I32</f>
        <v>1.29384085023815</v>
      </c>
      <c r="D51" s="18" t="n">
        <f aca="false">I34</f>
        <v>-2.97613891418664</v>
      </c>
      <c r="E51" s="4"/>
      <c r="F51" s="4"/>
      <c r="G51" s="4"/>
      <c r="H51" s="4"/>
      <c r="I51" s="4"/>
    </row>
    <row r="52" customFormat="false" ht="15" hidden="false" customHeight="false" outlineLevel="0" collapsed="false">
      <c r="A52" s="4" t="s">
        <v>60</v>
      </c>
      <c r="B52" s="8" t="n">
        <f aca="false">F43</f>
        <v>1.36812278113499</v>
      </c>
      <c r="C52" s="8" t="n">
        <f aca="false">I43</f>
        <v>1.3491378656658</v>
      </c>
      <c r="D52" s="18" t="n">
        <f aca="false">I45</f>
        <v>2.5535626285778</v>
      </c>
      <c r="E52" s="4"/>
      <c r="F52" s="4"/>
      <c r="G52" s="4"/>
      <c r="H52" s="4"/>
      <c r="I5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" t="s">
        <v>65</v>
      </c>
      <c r="B1" s="4"/>
    </row>
    <row r="2" customFormat="false" ht="15" hidden="false" customHeight="false" outlineLevel="0" collapsed="false">
      <c r="A2" s="4"/>
      <c r="B2" s="4"/>
    </row>
    <row r="3" customFormat="false" ht="15" hidden="false" customHeight="false" outlineLevel="0" collapsed="false">
      <c r="A3" s="5" t="s">
        <v>66</v>
      </c>
      <c r="B3" s="5" t="s">
        <v>67</v>
      </c>
    </row>
    <row r="4" customFormat="false" ht="15" hidden="false" customHeight="false" outlineLevel="0" collapsed="false">
      <c r="A4" s="4" t="s">
        <v>68</v>
      </c>
      <c r="B4" s="4" t="s">
        <v>69</v>
      </c>
    </row>
    <row r="5" customFormat="false" ht="15" hidden="false" customHeight="false" outlineLevel="0" collapsed="false">
      <c r="A5" s="4" t="s">
        <v>70</v>
      </c>
      <c r="B5" s="4" t="s">
        <v>71</v>
      </c>
    </row>
    <row r="6" customFormat="false" ht="15" hidden="false" customHeight="false" outlineLevel="0" collapsed="false">
      <c r="A6" s="4" t="s">
        <v>72</v>
      </c>
      <c r="B6" s="4" t="s">
        <v>73</v>
      </c>
    </row>
    <row r="7" customFormat="false" ht="15" hidden="false" customHeight="false" outlineLevel="0" collapsed="false">
      <c r="A7" s="4" t="s">
        <v>74</v>
      </c>
      <c r="B7" s="4" t="s">
        <v>75</v>
      </c>
    </row>
    <row r="8" customFormat="false" ht="15" hidden="false" customHeight="false" outlineLevel="0" collapsed="false">
      <c r="A8" s="4" t="s">
        <v>76</v>
      </c>
      <c r="B8" s="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2026-10-14T11:43:04Z</dcterms:created>
  <dc:creator>openpyxl</dc:creator>
  <dc:description/>
  <dc:language>en-US</dc:language>
  <cp:lastModifiedBy/>
  <dcterms:modified xsi:type="dcterms:W3CDTF">2026-10-14T11:43:04Z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